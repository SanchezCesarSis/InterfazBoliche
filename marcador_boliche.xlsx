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rcador" sheetId="1" state="visible" r:id="rId1"/>
    <sheet xmlns:r="http://schemas.openxmlformats.org/officeDocument/2006/relationships" name="Instrucciones" sheetId="2" state="visible" r:id="rId2"/>
  </sheets>
  <definedNames/>
  <calcPr calcId="124519" fullCalcOnLoad="1"/>
</workbook>
</file>

<file path=xl/styles.xml><?xml version="1.0" encoding="utf-8"?>
<styleSheet xmlns="http://schemas.openxmlformats.org/spreadsheetml/2006/main">
  <numFmts count="1">
    <numFmt numFmtId="164" formatCode="dd/mm/yyyy"/>
  </numFmts>
  <fonts count="12">
    <font>
      <name val="Calibri"/>
      <family val="2"/>
      <color theme="1"/>
      <sz val="11"/>
      <scheme val="minor"/>
    </font>
    <font>
      <b val="1"/>
      <color rgb="001F4E78"/>
      <sz val="16"/>
    </font>
    <font>
      <b val="1"/>
    </font>
    <font>
      <b val="1"/>
      <sz val="11"/>
    </font>
    <font>
      <b val="1"/>
      <color rgb="00FFFFFF"/>
    </font>
    <font>
      <color rgb="00999999"/>
      <sz val="8"/>
    </font>
    <font>
      <b val="1"/>
      <color rgb="001F4E78"/>
    </font>
    <font>
      <b val="1"/>
      <color rgb="00FFFFFF"/>
      <sz val="12"/>
    </font>
    <font>
      <color rgb="00555555"/>
      <sz val="9"/>
    </font>
    <font>
      <b val="1"/>
      <color rgb="001F4E78"/>
      <sz val="12"/>
    </font>
    <font>
      <color rgb="00333333"/>
      <sz val="11"/>
    </font>
    <font>
      <b val="1"/>
      <color rgb="001F4E78"/>
      <sz val="11"/>
    </font>
  </fonts>
  <fills count="5">
    <fill>
      <patternFill/>
    </fill>
    <fill>
      <patternFill patternType="gray125"/>
    </fill>
    <fill>
      <patternFill patternType="solid">
        <fgColor rgb="001F4E78"/>
      </patternFill>
    </fill>
    <fill>
      <patternFill patternType="solid">
        <fgColor rgb="00C0392B"/>
      </patternFill>
    </fill>
    <fill>
      <patternFill patternType="solid">
        <fgColor rgb="00D6EAF8"/>
      </patternFill>
    </fill>
  </fills>
  <borders count="5">
    <border>
      <left/>
      <right/>
      <top/>
      <bottom/>
      <diagonal/>
    </border>
    <border>
      <bottom style="medium">
        <color rgb="001F4E78"/>
      </bottom>
    </border>
    <border>
      <left/>
      <right/>
      <top/>
      <bottom style="medium">
        <color rgb="001F4E78"/>
      </bottom>
      <diagonal/>
    </border>
    <border>
      <left style="thin">
        <color rgb="00999999"/>
      </left>
      <right style="thin">
        <color rgb="00999999"/>
      </right>
      <top style="thin">
        <color rgb="00999999"/>
      </top>
      <bottom style="thin">
        <color rgb="00999999"/>
      </bottom>
    </border>
    <border>
      <left style="medium">
        <color rgb="00333333"/>
      </left>
      <right style="medium">
        <color rgb="00333333"/>
      </right>
      <top style="medium">
        <color rgb="00333333"/>
      </top>
      <bottom style="medium">
        <color rgb="00333333"/>
      </bottom>
    </border>
  </borders>
  <cellStyleXfs count="1">
    <xf numFmtId="0" fontId="0" fillId="0" borderId="0"/>
  </cellStyleXfs>
  <cellXfs count="19">
    <xf numFmtId="0" fontId="0" fillId="0" borderId="0" pivotButton="0" quotePrefix="0" xfId="0"/>
    <xf numFmtId="0" fontId="1" fillId="0" borderId="0" applyAlignment="1" pivotButton="0" quotePrefix="0" xfId="0">
      <alignment horizontal="center"/>
    </xf>
    <xf numFmtId="0" fontId="2" fillId="0" borderId="0" pivotButton="0" quotePrefix="0" xfId="0"/>
    <xf numFmtId="164" fontId="0" fillId="0" borderId="0" pivotButton="0" quotePrefix="0" xfId="0"/>
    <xf numFmtId="0" fontId="3" fillId="0" borderId="0" pivotButton="0" quotePrefix="0" xfId="0"/>
    <xf numFmtId="0" fontId="2" fillId="0" borderId="1" pivotButton="0" quotePrefix="0" xfId="0"/>
    <xf numFmtId="0" fontId="0" fillId="0" borderId="2" pivotButton="0" quotePrefix="0" xfId="0"/>
    <xf numFmtId="0" fontId="4" fillId="2" borderId="0" applyAlignment="1" pivotButton="0" quotePrefix="0" xfId="0">
      <alignment horizontal="center"/>
    </xf>
    <xf numFmtId="0" fontId="4" fillId="3" borderId="0" applyAlignment="1" pivotButton="0" quotePrefix="0" xfId="0">
      <alignment horizontal="center"/>
    </xf>
    <xf numFmtId="1" fontId="0" fillId="0" borderId="3" applyAlignment="1" pivotButton="0" quotePrefix="0" xfId="0">
      <alignment horizontal="center"/>
    </xf>
    <xf numFmtId="0" fontId="5" fillId="0" borderId="0" applyAlignment="1" pivotButton="0" quotePrefix="0" xfId="0">
      <alignment horizontal="center"/>
    </xf>
    <xf numFmtId="0" fontId="6" fillId="4" borderId="3" applyAlignment="1" pivotButton="0" quotePrefix="0" xfId="0">
      <alignment horizontal="center"/>
    </xf>
    <xf numFmtId="0" fontId="0" fillId="0" borderId="3" pivotButton="0" quotePrefix="0" xfId="0"/>
    <xf numFmtId="0" fontId="7" fillId="3" borderId="4" applyAlignment="1" pivotButton="0" quotePrefix="0" xfId="0">
      <alignment horizontal="center"/>
    </xf>
    <xf numFmtId="0" fontId="6" fillId="0" borderId="0" pivotButton="0" quotePrefix="0" xfId="0"/>
    <xf numFmtId="0" fontId="8" fillId="0" borderId="0" pivotButton="0" quotePrefix="0" xfId="0"/>
    <xf numFmtId="0" fontId="9" fillId="0" borderId="0" applyAlignment="1" pivotButton="0" quotePrefix="0" xfId="0">
      <alignment/>
    </xf>
    <xf numFmtId="0" fontId="10" fillId="0" borderId="0" applyAlignment="1" pivotButton="0" quotePrefix="0" xfId="0">
      <alignment/>
    </xf>
    <xf numFmtId="0" fontId="11" fillId="0" borderId="0" applyAlignment="1" pivotButton="0" quotePrefix="0" xfId="0">
      <alignment/>
    </xf>
  </cellXfs>
  <cellStyles count="1">
    <cellStyle name="Normal" xfId="0" builtinId="0" hidden="0"/>
  </cellStyles>
  <dxfs count="1">
    <dxf>
      <font>
        <b val="1"/>
      </font>
      <fill>
        <patternFill patternType="solid">
          <fgColor rgb="00F9E79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W35"/>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2" customWidth="1" min="1" max="1"/>
    <col width="14" customWidth="1" min="2" max="2"/>
    <col width="4.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 width="4.2" customWidth="1" min="17" max="17"/>
    <col width="4.2" customWidth="1" min="18" max="18"/>
    <col width="4.2" customWidth="1" min="19" max="19"/>
    <col width="4.2" customWidth="1" min="20" max="20"/>
    <col width="4.2" customWidth="1" min="21" max="21"/>
    <col width="12" customWidth="1" min="23" max="23"/>
  </cols>
  <sheetData>
    <row r="1">
      <c r="B1" s="1" t="inlineStr">
        <is>
          <t>MARCADOR DE BOLICHE</t>
        </is>
      </c>
    </row>
    <row r="2">
      <c r="B2" s="2" t="inlineStr">
        <is>
          <t>Fecha:</t>
        </is>
      </c>
      <c r="C2" s="3" t="inlineStr"/>
      <c r="E2" s="2" t="inlineStr">
        <is>
          <t>Cancha / Local:</t>
        </is>
      </c>
    </row>
    <row r="4">
      <c r="B4" s="4" t="inlineStr">
        <is>
          <t>Jugador 1:</t>
        </is>
      </c>
      <c r="C4" s="5" t="n"/>
      <c r="D4" s="6" t="n"/>
      <c r="E4" s="6" t="n"/>
      <c r="F4" s="6" t="n"/>
      <c r="G4" s="6" t="n"/>
      <c r="H4" s="6" t="n"/>
      <c r="W4" s="7" t="inlineStr">
        <is>
          <t>TOTAL</t>
        </is>
      </c>
    </row>
    <row r="5">
      <c r="B5" s="7" t="n">
        <v>1</v>
      </c>
      <c r="D5" s="7" t="n">
        <v>2</v>
      </c>
      <c r="F5" s="7" t="n">
        <v>3</v>
      </c>
      <c r="H5" s="7" t="n">
        <v>4</v>
      </c>
      <c r="J5" s="7" t="n">
        <v>5</v>
      </c>
      <c r="L5" s="7" t="n">
        <v>6</v>
      </c>
      <c r="N5" s="7" t="n">
        <v>7</v>
      </c>
      <c r="P5" s="7" t="n">
        <v>8</v>
      </c>
      <c r="R5" s="7" t="n">
        <v>9</v>
      </c>
      <c r="T5" s="8" t="n">
        <v>10</v>
      </c>
    </row>
    <row r="6">
      <c r="B6" s="9" t="n"/>
      <c r="C6" s="9" t="n"/>
      <c r="D6" s="9" t="n"/>
      <c r="E6" s="9" t="n"/>
      <c r="F6" s="9" t="n"/>
      <c r="G6" s="9" t="n"/>
      <c r="H6" s="9" t="n"/>
      <c r="I6" s="9" t="n"/>
      <c r="J6" s="9" t="n"/>
      <c r="K6" s="9" t="n"/>
      <c r="L6" s="9" t="n"/>
      <c r="M6" s="9" t="n"/>
      <c r="N6" s="9" t="n"/>
      <c r="O6" s="9" t="n"/>
      <c r="P6" s="9" t="n"/>
      <c r="Q6" s="9" t="n"/>
      <c r="R6" s="9" t="n"/>
      <c r="S6" s="9" t="n"/>
      <c r="T6" s="9" t="n"/>
      <c r="U6" s="9" t="n"/>
      <c r="V6" s="9" t="n"/>
    </row>
    <row r="7" hidden="1">
      <c r="B7" s="10">
        <f>IF(AND(ISNUMBER(B6),B6=10),IF(AND(AND(ISNUMBER(D6),IF(D6=10,ISNUMBER(F6),ISNUMBER(E6)))),10+D6+IF(D6=10,F6,E6),""),IF(AND(ISNUMBER(B6),ISNUMBER(C6),B6+C6=10),IF(AND(ISNUMBER(D6)),10+D6,""),IF(AND(ISNUMBER(B6),ISNUMBER(C6)),B6+C6,"")))</f>
        <v/>
      </c>
      <c r="D7" s="10">
        <f>IF(AND(ISNUMBER(D6),D6=10),IF(AND(AND(ISNUMBER(F6),IF(F6=10,ISNUMBER(H6),ISNUMBER(G6)))),10+F6+IF(F6=10,H6,G6),""),IF(AND(ISNUMBER(D6),ISNUMBER(E6),D6+E6=10),IF(AND(ISNUMBER(F6)),10+F6,""),IF(AND(ISNUMBER(D6),ISNUMBER(E6)),D6+E6,"")))</f>
        <v/>
      </c>
      <c r="F7" s="10">
        <f>IF(AND(ISNUMBER(F6),F6=10),IF(AND(AND(ISNUMBER(H6),IF(H6=10,ISNUMBER(J6),ISNUMBER(I6)))),10+H6+IF(H6=10,J6,I6),""),IF(AND(ISNUMBER(F6),ISNUMBER(G6),F6+G6=10),IF(AND(ISNUMBER(H6)),10+H6,""),IF(AND(ISNUMBER(F6),ISNUMBER(G6)),F6+G6,"")))</f>
        <v/>
      </c>
      <c r="H7" s="10">
        <f>IF(AND(ISNUMBER(H6),H6=10),IF(AND(AND(ISNUMBER(J6),IF(J6=10,ISNUMBER(L6),ISNUMBER(K6)))),10+J6+IF(J6=10,L6,K6),""),IF(AND(ISNUMBER(H6),ISNUMBER(I6),H6+I6=10),IF(AND(ISNUMBER(J6)),10+J6,""),IF(AND(ISNUMBER(H6),ISNUMBER(I6)),H6+I6,"")))</f>
        <v/>
      </c>
      <c r="J7" s="10">
        <f>IF(AND(ISNUMBER(J6),J6=10),IF(AND(AND(ISNUMBER(L6),IF(L6=10,ISNUMBER(N6),ISNUMBER(M6)))),10+L6+IF(L6=10,N6,M6),""),IF(AND(ISNUMBER(J6),ISNUMBER(K6),J6+K6=10),IF(AND(ISNUMBER(L6)),10+L6,""),IF(AND(ISNUMBER(J6),ISNUMBER(K6)),J6+K6,"")))</f>
        <v/>
      </c>
      <c r="L7" s="10">
        <f>IF(AND(ISNUMBER(L6),L6=10),IF(AND(AND(ISNUMBER(N6),IF(N6=10,ISNUMBER(P6),ISNUMBER(O6)))),10+N6+IF(N6=10,P6,O6),""),IF(AND(ISNUMBER(L6),ISNUMBER(M6),L6+M6=10),IF(AND(ISNUMBER(N6)),10+N6,""),IF(AND(ISNUMBER(L6),ISNUMBER(M6)),L6+M6,"")))</f>
        <v/>
      </c>
      <c r="N7" s="10">
        <f>IF(AND(ISNUMBER(N6),N6=10),IF(AND(AND(ISNUMBER(P6),IF(P6=10,ISNUMBER(R6),ISNUMBER(Q6)))),10+P6+IF(P6=10,R6,Q6),""),IF(AND(ISNUMBER(N6),ISNUMBER(O6),N6+O6=10),IF(AND(ISNUMBER(P6)),10+P6,""),IF(AND(ISNUMBER(N6),ISNUMBER(O6)),N6+O6,"")))</f>
        <v/>
      </c>
      <c r="P7" s="10">
        <f>IF(AND(ISNUMBER(P6),P6=10),IF(AND(AND(ISNUMBER(R6),IF(R6=10,ISNUMBER(T6),ISNUMBER(S6)))),10+R6+IF(R6=10,T6,S6),""),IF(AND(ISNUMBER(P6),ISNUMBER(Q6),P6+Q6=10),IF(AND(ISNUMBER(R6)),10+R6,""),IF(AND(ISNUMBER(P6),ISNUMBER(Q6)),P6+Q6,"")))</f>
        <v/>
      </c>
      <c r="R7" s="10">
        <f>IF(AND(ISNUMBER(R6),R6=10),IF(AND(AND(ISNUMBER(T6),ISNUMBER(U6))),10+T6+U6,""),IF(AND(ISNUMBER(R6),ISNUMBER(S6),R6+S6=10),IF(AND(ISNUMBER(T6)),10+T6,""),IF(AND(ISNUMBER(R6),ISNUMBER(S6)),R6+S6,"")))</f>
        <v/>
      </c>
      <c r="T7" s="10">
        <f>IF(OR(NOT(ISNUMBER(T6)),NOT(ISNUMBER(U6))),"",IF(T6+U6&lt;10,T6+U6,IF(NOT(ISNUMBER(V6)),"",T6+U6+V6)))</f>
        <v/>
      </c>
    </row>
    <row r="8">
      <c r="B8" s="11">
        <f>IF(B7="","",B7)</f>
        <v/>
      </c>
      <c r="C8" s="12" t="n"/>
      <c r="D8" s="11">
        <f>IF(D7="","",IF(B8="","",B8+D7))</f>
        <v/>
      </c>
      <c r="E8" s="12" t="n"/>
      <c r="F8" s="11">
        <f>IF(F7="","",IF(D8="","",D8+F7))</f>
        <v/>
      </c>
      <c r="G8" s="12" t="n"/>
      <c r="H8" s="11">
        <f>IF(H7="","",IF(F8="","",F8+H7))</f>
        <v/>
      </c>
      <c r="I8" s="12" t="n"/>
      <c r="J8" s="11">
        <f>IF(J7="","",IF(H8="","",H8+J7))</f>
        <v/>
      </c>
      <c r="K8" s="12" t="n"/>
      <c r="L8" s="11">
        <f>IF(L7="","",IF(J8="","",J8+L7))</f>
        <v/>
      </c>
      <c r="M8" s="12" t="n"/>
      <c r="N8" s="11">
        <f>IF(N7="","",IF(L8="","",L8+N7))</f>
        <v/>
      </c>
      <c r="O8" s="12" t="n"/>
      <c r="P8" s="11">
        <f>IF(P7="","",IF(N8="","",N8+P7))</f>
        <v/>
      </c>
      <c r="Q8" s="12" t="n"/>
      <c r="R8" s="11">
        <f>IF(R7="","",IF(P8="","",P8+R7))</f>
        <v/>
      </c>
      <c r="S8" s="12" t="n"/>
      <c r="T8" s="11">
        <f>IF(T7="","",IF(R8="","",R8+T7))</f>
        <v/>
      </c>
      <c r="U8" s="12" t="n"/>
      <c r="V8" s="12" t="n"/>
      <c r="W8" s="13">
        <f>T8</f>
        <v/>
      </c>
    </row>
    <row r="10">
      <c r="B10" s="4" t="inlineStr">
        <is>
          <t>Jugador 2:</t>
        </is>
      </c>
      <c r="C10" s="5" t="n"/>
      <c r="D10" s="6" t="n"/>
      <c r="E10" s="6" t="n"/>
      <c r="F10" s="6" t="n"/>
      <c r="G10" s="6" t="n"/>
      <c r="H10" s="6" t="n"/>
      <c r="W10" s="7" t="inlineStr">
        <is>
          <t>TOTAL</t>
        </is>
      </c>
    </row>
    <row r="11">
      <c r="B11" s="7" t="n">
        <v>1</v>
      </c>
      <c r="D11" s="7" t="n">
        <v>2</v>
      </c>
      <c r="F11" s="7" t="n">
        <v>3</v>
      </c>
      <c r="H11" s="7" t="n">
        <v>4</v>
      </c>
      <c r="J11" s="7" t="n">
        <v>5</v>
      </c>
      <c r="L11" s="7" t="n">
        <v>6</v>
      </c>
      <c r="N11" s="7" t="n">
        <v>7</v>
      </c>
      <c r="P11" s="7" t="n">
        <v>8</v>
      </c>
      <c r="R11" s="7" t="n">
        <v>9</v>
      </c>
      <c r="T11" s="8" t="n">
        <v>10</v>
      </c>
    </row>
    <row r="12">
      <c r="B12" s="9" t="n"/>
      <c r="C12" s="9" t="n"/>
      <c r="D12" s="9" t="n"/>
      <c r="E12" s="9" t="n"/>
      <c r="F12" s="9" t="n"/>
      <c r="G12" s="9" t="n"/>
      <c r="H12" s="9" t="n"/>
      <c r="I12" s="9" t="n"/>
      <c r="J12" s="9" t="n"/>
      <c r="K12" s="9" t="n"/>
      <c r="L12" s="9" t="n"/>
      <c r="M12" s="9" t="n"/>
      <c r="N12" s="9" t="n"/>
      <c r="O12" s="9" t="n"/>
      <c r="P12" s="9" t="n"/>
      <c r="Q12" s="9" t="n"/>
      <c r="R12" s="9" t="n"/>
      <c r="S12" s="9" t="n"/>
      <c r="T12" s="9" t="n"/>
      <c r="U12" s="9" t="n"/>
      <c r="V12" s="9" t="n"/>
    </row>
    <row r="13" hidden="1">
      <c r="B13" s="10">
        <f>IF(AND(ISNUMBER(B12),B12=10),IF(AND(AND(ISNUMBER(D12),IF(D12=10,ISNUMBER(F12),ISNUMBER(E12)))),10+D12+IF(D12=10,F12,E12),""),IF(AND(ISNUMBER(B12),ISNUMBER(C12),B12+C12=10),IF(AND(ISNUMBER(D12)),10+D12,""),IF(AND(ISNUMBER(B12),ISNUMBER(C12)),B12+C12,"")))</f>
        <v/>
      </c>
      <c r="D13" s="10">
        <f>IF(AND(ISNUMBER(D12),D12=10),IF(AND(AND(ISNUMBER(F12),IF(F12=10,ISNUMBER(H12),ISNUMBER(G12)))),10+F12+IF(F12=10,H12,G12),""),IF(AND(ISNUMBER(D12),ISNUMBER(E12),D12+E12=10),IF(AND(ISNUMBER(F12)),10+F12,""),IF(AND(ISNUMBER(D12),ISNUMBER(E12)),D12+E12,"")))</f>
        <v/>
      </c>
      <c r="F13" s="10">
        <f>IF(AND(ISNUMBER(F12),F12=10),IF(AND(AND(ISNUMBER(H12),IF(H12=10,ISNUMBER(J12),ISNUMBER(I12)))),10+H12+IF(H12=10,J12,I12),""),IF(AND(ISNUMBER(F12),ISNUMBER(G12),F12+G12=10),IF(AND(ISNUMBER(H12)),10+H12,""),IF(AND(ISNUMBER(F12),ISNUMBER(G12)),F12+G12,"")))</f>
        <v/>
      </c>
      <c r="H13" s="10">
        <f>IF(AND(ISNUMBER(H12),H12=10),IF(AND(AND(ISNUMBER(J12),IF(J12=10,ISNUMBER(L12),ISNUMBER(K12)))),10+J12+IF(J12=10,L12,K12),""),IF(AND(ISNUMBER(H12),ISNUMBER(I12),H12+I12=10),IF(AND(ISNUMBER(J12)),10+J12,""),IF(AND(ISNUMBER(H12),ISNUMBER(I12)),H12+I12,"")))</f>
        <v/>
      </c>
      <c r="J13" s="10">
        <f>IF(AND(ISNUMBER(J12),J12=10),IF(AND(AND(ISNUMBER(L12),IF(L12=10,ISNUMBER(N12),ISNUMBER(M12)))),10+L12+IF(L12=10,N12,M12),""),IF(AND(ISNUMBER(J12),ISNUMBER(K12),J12+K12=10),IF(AND(ISNUMBER(L12)),10+L12,""),IF(AND(ISNUMBER(J12),ISNUMBER(K12)),J12+K12,"")))</f>
        <v/>
      </c>
      <c r="L13" s="10">
        <f>IF(AND(ISNUMBER(L12),L12=10),IF(AND(AND(ISNUMBER(N12),IF(N12=10,ISNUMBER(P12),ISNUMBER(O12)))),10+N12+IF(N12=10,P12,O12),""),IF(AND(ISNUMBER(L12),ISNUMBER(M12),L12+M12=10),IF(AND(ISNUMBER(N12)),10+N12,""),IF(AND(ISNUMBER(L12),ISNUMBER(M12)),L12+M12,"")))</f>
        <v/>
      </c>
      <c r="N13" s="10">
        <f>IF(AND(ISNUMBER(N12),N12=10),IF(AND(AND(ISNUMBER(P12),IF(P12=10,ISNUMBER(R12),ISNUMBER(Q12)))),10+P12+IF(P12=10,R12,Q12),""),IF(AND(ISNUMBER(N12),ISNUMBER(O12),N12+O12=10),IF(AND(ISNUMBER(P12)),10+P12,""),IF(AND(ISNUMBER(N12),ISNUMBER(O12)),N12+O12,"")))</f>
        <v/>
      </c>
      <c r="P13" s="10">
        <f>IF(AND(ISNUMBER(P12),P12=10),IF(AND(AND(ISNUMBER(R12),IF(R12=10,ISNUMBER(T12),ISNUMBER(S12)))),10+R12+IF(R12=10,T12,S12),""),IF(AND(ISNUMBER(P12),ISNUMBER(Q12),P12+Q12=10),IF(AND(ISNUMBER(R12)),10+R12,""),IF(AND(ISNUMBER(P12),ISNUMBER(Q12)),P12+Q12,"")))</f>
        <v/>
      </c>
      <c r="R13" s="10">
        <f>IF(AND(ISNUMBER(R12),R12=10),IF(AND(AND(ISNUMBER(T12),ISNUMBER(U12))),10+T12+U12,""),IF(AND(ISNUMBER(R12),ISNUMBER(S12),R12+S12=10),IF(AND(ISNUMBER(T12)),10+T12,""),IF(AND(ISNUMBER(R12),ISNUMBER(S12)),R12+S12,"")))</f>
        <v/>
      </c>
      <c r="T13" s="10">
        <f>IF(OR(NOT(ISNUMBER(T12)),NOT(ISNUMBER(U12))),"",IF(T12+U12&lt;10,T12+U12,IF(NOT(ISNUMBER(V12)),"",T12+U12+V12)))</f>
        <v/>
      </c>
    </row>
    <row r="14">
      <c r="B14" s="11">
        <f>IF(B13="","",B13)</f>
        <v/>
      </c>
      <c r="C14" s="12" t="n"/>
      <c r="D14" s="11">
        <f>IF(D13="","",IF(B14="","",B14+D13))</f>
        <v/>
      </c>
      <c r="E14" s="12" t="n"/>
      <c r="F14" s="11">
        <f>IF(F13="","",IF(D14="","",D14+F13))</f>
        <v/>
      </c>
      <c r="G14" s="12" t="n"/>
      <c r="H14" s="11">
        <f>IF(H13="","",IF(F14="","",F14+H13))</f>
        <v/>
      </c>
      <c r="I14" s="12" t="n"/>
      <c r="J14" s="11">
        <f>IF(J13="","",IF(H14="","",H14+J13))</f>
        <v/>
      </c>
      <c r="K14" s="12" t="n"/>
      <c r="L14" s="11">
        <f>IF(L13="","",IF(J14="","",J14+L13))</f>
        <v/>
      </c>
      <c r="M14" s="12" t="n"/>
      <c r="N14" s="11">
        <f>IF(N13="","",IF(L14="","",L14+N13))</f>
        <v/>
      </c>
      <c r="O14" s="12" t="n"/>
      <c r="P14" s="11">
        <f>IF(P13="","",IF(N14="","",N14+P13))</f>
        <v/>
      </c>
      <c r="Q14" s="12" t="n"/>
      <c r="R14" s="11">
        <f>IF(R13="","",IF(P14="","",P14+R13))</f>
        <v/>
      </c>
      <c r="S14" s="12" t="n"/>
      <c r="T14" s="11">
        <f>IF(T13="","",IF(R14="","",R14+T13))</f>
        <v/>
      </c>
      <c r="U14" s="12" t="n"/>
      <c r="V14" s="12" t="n"/>
      <c r="W14" s="13">
        <f>T14</f>
        <v/>
      </c>
    </row>
    <row r="16">
      <c r="B16" s="4" t="inlineStr">
        <is>
          <t>Jugador 3:</t>
        </is>
      </c>
      <c r="C16" s="5" t="n"/>
      <c r="D16" s="6" t="n"/>
      <c r="E16" s="6" t="n"/>
      <c r="F16" s="6" t="n"/>
      <c r="G16" s="6" t="n"/>
      <c r="H16" s="6" t="n"/>
      <c r="W16" s="7" t="inlineStr">
        <is>
          <t>TOTAL</t>
        </is>
      </c>
    </row>
    <row r="17">
      <c r="B17" s="7" t="n">
        <v>1</v>
      </c>
      <c r="D17" s="7" t="n">
        <v>2</v>
      </c>
      <c r="F17" s="7" t="n">
        <v>3</v>
      </c>
      <c r="H17" s="7" t="n">
        <v>4</v>
      </c>
      <c r="J17" s="7" t="n">
        <v>5</v>
      </c>
      <c r="L17" s="7" t="n">
        <v>6</v>
      </c>
      <c r="N17" s="7" t="n">
        <v>7</v>
      </c>
      <c r="P17" s="7" t="n">
        <v>8</v>
      </c>
      <c r="R17" s="7" t="n">
        <v>9</v>
      </c>
      <c r="T17" s="8" t="n">
        <v>10</v>
      </c>
    </row>
    <row r="18">
      <c r="B18" s="9" t="n"/>
      <c r="C18" s="9" t="n"/>
      <c r="D18" s="9" t="n"/>
      <c r="E18" s="9" t="n"/>
      <c r="F18" s="9" t="n"/>
      <c r="G18" s="9" t="n"/>
      <c r="H18" s="9" t="n"/>
      <c r="I18" s="9" t="n"/>
      <c r="J18" s="9" t="n"/>
      <c r="K18" s="9" t="n"/>
      <c r="L18" s="9" t="n"/>
      <c r="M18" s="9" t="n"/>
      <c r="N18" s="9" t="n"/>
      <c r="O18" s="9" t="n"/>
      <c r="P18" s="9" t="n"/>
      <c r="Q18" s="9" t="n"/>
      <c r="R18" s="9" t="n"/>
      <c r="S18" s="9" t="n"/>
      <c r="T18" s="9" t="n"/>
      <c r="U18" s="9" t="n"/>
      <c r="V18" s="9" t="n"/>
    </row>
    <row r="19" hidden="1">
      <c r="B19" s="10">
        <f>IF(AND(ISNUMBER(B18),B18=10),IF(AND(AND(ISNUMBER(D18),IF(D18=10,ISNUMBER(F18),ISNUMBER(E18)))),10+D18+IF(D18=10,F18,E18),""),IF(AND(ISNUMBER(B18),ISNUMBER(C18),B18+C18=10),IF(AND(ISNUMBER(D18)),10+D18,""),IF(AND(ISNUMBER(B18),ISNUMBER(C18)),B18+C18,"")))</f>
        <v/>
      </c>
      <c r="D19" s="10">
        <f>IF(AND(ISNUMBER(D18),D18=10),IF(AND(AND(ISNUMBER(F18),IF(F18=10,ISNUMBER(H18),ISNUMBER(G18)))),10+F18+IF(F18=10,H18,G18),""),IF(AND(ISNUMBER(D18),ISNUMBER(E18),D18+E18=10),IF(AND(ISNUMBER(F18)),10+F18,""),IF(AND(ISNUMBER(D18),ISNUMBER(E18)),D18+E18,"")))</f>
        <v/>
      </c>
      <c r="F19" s="10">
        <f>IF(AND(ISNUMBER(F18),F18=10),IF(AND(AND(ISNUMBER(H18),IF(H18=10,ISNUMBER(J18),ISNUMBER(I18)))),10+H18+IF(H18=10,J18,I18),""),IF(AND(ISNUMBER(F18),ISNUMBER(G18),F18+G18=10),IF(AND(ISNUMBER(H18)),10+H18,""),IF(AND(ISNUMBER(F18),ISNUMBER(G18)),F18+G18,"")))</f>
        <v/>
      </c>
      <c r="H19" s="10">
        <f>IF(AND(ISNUMBER(H18),H18=10),IF(AND(AND(ISNUMBER(J18),IF(J18=10,ISNUMBER(L18),ISNUMBER(K18)))),10+J18+IF(J18=10,L18,K18),""),IF(AND(ISNUMBER(H18),ISNUMBER(I18),H18+I18=10),IF(AND(ISNUMBER(J18)),10+J18,""),IF(AND(ISNUMBER(H18),ISNUMBER(I18)),H18+I18,"")))</f>
        <v/>
      </c>
      <c r="J19" s="10">
        <f>IF(AND(ISNUMBER(J18),J18=10),IF(AND(AND(ISNUMBER(L18),IF(L18=10,ISNUMBER(N18),ISNUMBER(M18)))),10+L18+IF(L18=10,N18,M18),""),IF(AND(ISNUMBER(J18),ISNUMBER(K18),J18+K18=10),IF(AND(ISNUMBER(L18)),10+L18,""),IF(AND(ISNUMBER(J18),ISNUMBER(K18)),J18+K18,"")))</f>
        <v/>
      </c>
      <c r="L19" s="10">
        <f>IF(AND(ISNUMBER(L18),L18=10),IF(AND(AND(ISNUMBER(N18),IF(N18=10,ISNUMBER(P18),ISNUMBER(O18)))),10+N18+IF(N18=10,P18,O18),""),IF(AND(ISNUMBER(L18),ISNUMBER(M18),L18+M18=10),IF(AND(ISNUMBER(N18)),10+N18,""),IF(AND(ISNUMBER(L18),ISNUMBER(M18)),L18+M18,"")))</f>
        <v/>
      </c>
      <c r="N19" s="10">
        <f>IF(AND(ISNUMBER(N18),N18=10),IF(AND(AND(ISNUMBER(P18),IF(P18=10,ISNUMBER(R18),ISNUMBER(Q18)))),10+P18+IF(P18=10,R18,Q18),""),IF(AND(ISNUMBER(N18),ISNUMBER(O18),N18+O18=10),IF(AND(ISNUMBER(P18)),10+P18,""),IF(AND(ISNUMBER(N18),ISNUMBER(O18)),N18+O18,"")))</f>
        <v/>
      </c>
      <c r="P19" s="10">
        <f>IF(AND(ISNUMBER(P18),P18=10),IF(AND(AND(ISNUMBER(R18),IF(R18=10,ISNUMBER(T18),ISNUMBER(S18)))),10+R18+IF(R18=10,T18,S18),""),IF(AND(ISNUMBER(P18),ISNUMBER(Q18),P18+Q18=10),IF(AND(ISNUMBER(R18)),10+R18,""),IF(AND(ISNUMBER(P18),ISNUMBER(Q18)),P18+Q18,"")))</f>
        <v/>
      </c>
      <c r="R19" s="10">
        <f>IF(AND(ISNUMBER(R18),R18=10),IF(AND(AND(ISNUMBER(T18),ISNUMBER(U18))),10+T18+U18,""),IF(AND(ISNUMBER(R18),ISNUMBER(S18),R18+S18=10),IF(AND(ISNUMBER(T18)),10+T18,""),IF(AND(ISNUMBER(R18),ISNUMBER(S18)),R18+S18,"")))</f>
        <v/>
      </c>
      <c r="T19" s="10">
        <f>IF(OR(NOT(ISNUMBER(T18)),NOT(ISNUMBER(U18))),"",IF(T18+U18&lt;10,T18+U18,IF(NOT(ISNUMBER(V18)),"",T18+U18+V18)))</f>
        <v/>
      </c>
    </row>
    <row r="20">
      <c r="B20" s="11">
        <f>IF(B19="","",B19)</f>
        <v/>
      </c>
      <c r="C20" s="12" t="n"/>
      <c r="D20" s="11">
        <f>IF(D19="","",IF(B20="","",B20+D19))</f>
        <v/>
      </c>
      <c r="E20" s="12" t="n"/>
      <c r="F20" s="11">
        <f>IF(F19="","",IF(D20="","",D20+F19))</f>
        <v/>
      </c>
      <c r="G20" s="12" t="n"/>
      <c r="H20" s="11">
        <f>IF(H19="","",IF(F20="","",F20+H19))</f>
        <v/>
      </c>
      <c r="I20" s="12" t="n"/>
      <c r="J20" s="11">
        <f>IF(J19="","",IF(H20="","",H20+J19))</f>
        <v/>
      </c>
      <c r="K20" s="12" t="n"/>
      <c r="L20" s="11">
        <f>IF(L19="","",IF(J20="","",J20+L19))</f>
        <v/>
      </c>
      <c r="M20" s="12" t="n"/>
      <c r="N20" s="11">
        <f>IF(N19="","",IF(L20="","",L20+N19))</f>
        <v/>
      </c>
      <c r="O20" s="12" t="n"/>
      <c r="P20" s="11">
        <f>IF(P19="","",IF(N20="","",N20+P19))</f>
        <v/>
      </c>
      <c r="Q20" s="12" t="n"/>
      <c r="R20" s="11">
        <f>IF(R19="","",IF(P20="","",P20+R19))</f>
        <v/>
      </c>
      <c r="S20" s="12" t="n"/>
      <c r="T20" s="11">
        <f>IF(T19="","",IF(R20="","",R20+T19))</f>
        <v/>
      </c>
      <c r="U20" s="12" t="n"/>
      <c r="V20" s="12" t="n"/>
      <c r="W20" s="13">
        <f>T20</f>
        <v/>
      </c>
    </row>
    <row r="22">
      <c r="B22" s="4" t="inlineStr">
        <is>
          <t>Jugador 4:</t>
        </is>
      </c>
      <c r="C22" s="5" t="n"/>
      <c r="D22" s="6" t="n"/>
      <c r="E22" s="6" t="n"/>
      <c r="F22" s="6" t="n"/>
      <c r="G22" s="6" t="n"/>
      <c r="H22" s="6" t="n"/>
      <c r="W22" s="7" t="inlineStr">
        <is>
          <t>TOTAL</t>
        </is>
      </c>
    </row>
    <row r="23">
      <c r="B23" s="7" t="n">
        <v>1</v>
      </c>
      <c r="D23" s="7" t="n">
        <v>2</v>
      </c>
      <c r="F23" s="7" t="n">
        <v>3</v>
      </c>
      <c r="H23" s="7" t="n">
        <v>4</v>
      </c>
      <c r="J23" s="7" t="n">
        <v>5</v>
      </c>
      <c r="L23" s="7" t="n">
        <v>6</v>
      </c>
      <c r="N23" s="7" t="n">
        <v>7</v>
      </c>
      <c r="P23" s="7" t="n">
        <v>8</v>
      </c>
      <c r="R23" s="7" t="n">
        <v>9</v>
      </c>
      <c r="T23" s="8" t="n">
        <v>10</v>
      </c>
    </row>
    <row r="24">
      <c r="B24" s="9" t="n"/>
      <c r="C24" s="9" t="n"/>
      <c r="D24" s="9" t="n"/>
      <c r="E24" s="9" t="n"/>
      <c r="F24" s="9" t="n"/>
      <c r="G24" s="9" t="n"/>
      <c r="H24" s="9" t="n"/>
      <c r="I24" s="9" t="n"/>
      <c r="J24" s="9" t="n"/>
      <c r="K24" s="9" t="n"/>
      <c r="L24" s="9" t="n"/>
      <c r="M24" s="9" t="n"/>
      <c r="N24" s="9" t="n"/>
      <c r="O24" s="9" t="n"/>
      <c r="P24" s="9" t="n"/>
      <c r="Q24" s="9" t="n"/>
      <c r="R24" s="9" t="n"/>
      <c r="S24" s="9" t="n"/>
      <c r="T24" s="9" t="n"/>
      <c r="U24" s="9" t="n"/>
      <c r="V24" s="9" t="n"/>
    </row>
    <row r="25" hidden="1">
      <c r="B25" s="10">
        <f>IF(AND(ISNUMBER(B24),B24=10),IF(AND(AND(ISNUMBER(D24),IF(D24=10,ISNUMBER(F24),ISNUMBER(E24)))),10+D24+IF(D24=10,F24,E24),""),IF(AND(ISNUMBER(B24),ISNUMBER(C24),B24+C24=10),IF(AND(ISNUMBER(D24)),10+D24,""),IF(AND(ISNUMBER(B24),ISNUMBER(C24)),B24+C24,"")))</f>
        <v/>
      </c>
      <c r="D25" s="10">
        <f>IF(AND(ISNUMBER(D24),D24=10),IF(AND(AND(ISNUMBER(F24),IF(F24=10,ISNUMBER(H24),ISNUMBER(G24)))),10+F24+IF(F24=10,H24,G24),""),IF(AND(ISNUMBER(D24),ISNUMBER(E24),D24+E24=10),IF(AND(ISNUMBER(F24)),10+F24,""),IF(AND(ISNUMBER(D24),ISNUMBER(E24)),D24+E24,"")))</f>
        <v/>
      </c>
      <c r="F25" s="10">
        <f>IF(AND(ISNUMBER(F24),F24=10),IF(AND(AND(ISNUMBER(H24),IF(H24=10,ISNUMBER(J24),ISNUMBER(I24)))),10+H24+IF(H24=10,J24,I24),""),IF(AND(ISNUMBER(F24),ISNUMBER(G24),F24+G24=10),IF(AND(ISNUMBER(H24)),10+H24,""),IF(AND(ISNUMBER(F24),ISNUMBER(G24)),F24+G24,"")))</f>
        <v/>
      </c>
      <c r="H25" s="10">
        <f>IF(AND(ISNUMBER(H24),H24=10),IF(AND(AND(ISNUMBER(J24),IF(J24=10,ISNUMBER(L24),ISNUMBER(K24)))),10+J24+IF(J24=10,L24,K24),""),IF(AND(ISNUMBER(H24),ISNUMBER(I24),H24+I24=10),IF(AND(ISNUMBER(J24)),10+J24,""),IF(AND(ISNUMBER(H24),ISNUMBER(I24)),H24+I24,"")))</f>
        <v/>
      </c>
      <c r="J25" s="10">
        <f>IF(AND(ISNUMBER(J24),J24=10),IF(AND(AND(ISNUMBER(L24),IF(L24=10,ISNUMBER(N24),ISNUMBER(M24)))),10+L24+IF(L24=10,N24,M24),""),IF(AND(ISNUMBER(J24),ISNUMBER(K24),J24+K24=10),IF(AND(ISNUMBER(L24)),10+L24,""),IF(AND(ISNUMBER(J24),ISNUMBER(K24)),J24+K24,"")))</f>
        <v/>
      </c>
      <c r="L25" s="10">
        <f>IF(AND(ISNUMBER(L24),L24=10),IF(AND(AND(ISNUMBER(N24),IF(N24=10,ISNUMBER(P24),ISNUMBER(O24)))),10+N24+IF(N24=10,P24,O24),""),IF(AND(ISNUMBER(L24),ISNUMBER(M24),L24+M24=10),IF(AND(ISNUMBER(N24)),10+N24,""),IF(AND(ISNUMBER(L24),ISNUMBER(M24)),L24+M24,"")))</f>
        <v/>
      </c>
      <c r="N25" s="10">
        <f>IF(AND(ISNUMBER(N24),N24=10),IF(AND(AND(ISNUMBER(P24),IF(P24=10,ISNUMBER(R24),ISNUMBER(Q24)))),10+P24+IF(P24=10,R24,Q24),""),IF(AND(ISNUMBER(N24),ISNUMBER(O24),N24+O24=10),IF(AND(ISNUMBER(P24)),10+P24,""),IF(AND(ISNUMBER(N24),ISNUMBER(O24)),N24+O24,"")))</f>
        <v/>
      </c>
      <c r="P25" s="10">
        <f>IF(AND(ISNUMBER(P24),P24=10),IF(AND(AND(ISNUMBER(R24),IF(R24=10,ISNUMBER(T24),ISNUMBER(S24)))),10+R24+IF(R24=10,T24,S24),""),IF(AND(ISNUMBER(P24),ISNUMBER(Q24),P24+Q24=10),IF(AND(ISNUMBER(R24)),10+R24,""),IF(AND(ISNUMBER(P24),ISNUMBER(Q24)),P24+Q24,"")))</f>
        <v/>
      </c>
      <c r="R25" s="10">
        <f>IF(AND(ISNUMBER(R24),R24=10),IF(AND(AND(ISNUMBER(T24),ISNUMBER(U24))),10+T24+U24,""),IF(AND(ISNUMBER(R24),ISNUMBER(S24),R24+S24=10),IF(AND(ISNUMBER(T24)),10+T24,""),IF(AND(ISNUMBER(R24),ISNUMBER(S24)),R24+S24,"")))</f>
        <v/>
      </c>
      <c r="T25" s="10">
        <f>IF(OR(NOT(ISNUMBER(T24)),NOT(ISNUMBER(U24))),"",IF(T24+U24&lt;10,T24+U24,IF(NOT(ISNUMBER(V24)),"",T24+U24+V24)))</f>
        <v/>
      </c>
    </row>
    <row r="26">
      <c r="B26" s="11">
        <f>IF(B25="","",B25)</f>
        <v/>
      </c>
      <c r="C26" s="12" t="n"/>
      <c r="D26" s="11">
        <f>IF(D25="","",IF(B26="","",B26+D25))</f>
        <v/>
      </c>
      <c r="E26" s="12" t="n"/>
      <c r="F26" s="11">
        <f>IF(F25="","",IF(D26="","",D26+F25))</f>
        <v/>
      </c>
      <c r="G26" s="12" t="n"/>
      <c r="H26" s="11">
        <f>IF(H25="","",IF(F26="","",F26+H25))</f>
        <v/>
      </c>
      <c r="I26" s="12" t="n"/>
      <c r="J26" s="11">
        <f>IF(J25="","",IF(H26="","",H26+J25))</f>
        <v/>
      </c>
      <c r="K26" s="12" t="n"/>
      <c r="L26" s="11">
        <f>IF(L25="","",IF(J26="","",J26+L25))</f>
        <v/>
      </c>
      <c r="M26" s="12" t="n"/>
      <c r="N26" s="11">
        <f>IF(N25="","",IF(L26="","",L26+N25))</f>
        <v/>
      </c>
      <c r="O26" s="12" t="n"/>
      <c r="P26" s="11">
        <f>IF(P25="","",IF(N26="","",N26+P25))</f>
        <v/>
      </c>
      <c r="Q26" s="12" t="n"/>
      <c r="R26" s="11">
        <f>IF(R25="","",IF(P26="","",P26+R25))</f>
        <v/>
      </c>
      <c r="S26" s="12" t="n"/>
      <c r="T26" s="11">
        <f>IF(T25="","",IF(R26="","",R26+T25))</f>
        <v/>
      </c>
      <c r="U26" s="12" t="n"/>
      <c r="V26" s="12" t="n"/>
      <c r="W26" s="13">
        <f>T26</f>
        <v/>
      </c>
    </row>
    <row r="29">
      <c r="B29" s="14" t="inlineStr">
        <is>
          <t>Cómo anotar:</t>
        </is>
      </c>
    </row>
    <row r="30">
      <c r="B30" s="15" t="inlineStr">
        <is>
          <t>Solo se cargan datos en la fila 'Lanzamientos' de cada frame. Las filas de puntos y acumulado se calculan solas.</t>
        </is>
      </c>
    </row>
    <row r="31">
      <c r="B31" s="15" t="inlineStr">
        <is>
          <t>Strike (10 pinos al 1er lanzamiento): escribir 10 en la primera celda del frame y dejar la segunda vacía. Se bonifica +10 + los dos siguientes lanzamientos.</t>
        </is>
      </c>
    </row>
    <row r="32">
      <c r="B32" s="15" t="inlineStr">
        <is>
          <t>Spare (10 pinos en dos lanzamientos): escribir los pinos de cada lanzamiento (ej. 7 y 3). Se bonifica +10 + el siguiente lanzamiento.</t>
        </is>
      </c>
    </row>
    <row r="33">
      <c r="B33" s="15" t="inlineStr">
        <is>
          <t>Frame abierto: escribir los pinos de cada lanzamiento (ej. 4 y 5).</t>
        </is>
      </c>
    </row>
    <row r="34">
      <c r="B34" s="15" t="inlineStr">
        <is>
          <t>Frame 10: si hay strike o spare se usan hasta 3 celdas; si no, solo 2.</t>
        </is>
      </c>
    </row>
    <row r="35">
      <c r="B35" s="15" t="inlineStr">
        <is>
          <t>El puntaje acumulado (fila azul clara) se muestra cuando el frame y sus bonificaciones están completos. Los valores 10 se resaltan en amarillo.</t>
        </is>
      </c>
    </row>
  </sheetData>
  <mergeCells count="131">
    <mergeCell ref="L17:M17"/>
    <mergeCell ref="D20:E20"/>
    <mergeCell ref="N11:O11"/>
    <mergeCell ref="N20:O20"/>
    <mergeCell ref="P20:Q20"/>
    <mergeCell ref="F25:G25"/>
    <mergeCell ref="J19:K19"/>
    <mergeCell ref="L19:M19"/>
    <mergeCell ref="D13:E13"/>
    <mergeCell ref="B14:C14"/>
    <mergeCell ref="L5:M5"/>
    <mergeCell ref="N5:O5"/>
    <mergeCell ref="L14:M14"/>
    <mergeCell ref="N14:O14"/>
    <mergeCell ref="B13:C13"/>
    <mergeCell ref="D7:E7"/>
    <mergeCell ref="F23:G23"/>
    <mergeCell ref="F13:G13"/>
    <mergeCell ref="P13:Q13"/>
    <mergeCell ref="H13:I13"/>
    <mergeCell ref="T20:V20"/>
    <mergeCell ref="T14:V14"/>
    <mergeCell ref="H23:I23"/>
    <mergeCell ref="J23:K23"/>
    <mergeCell ref="B26:C26"/>
    <mergeCell ref="D26:E26"/>
    <mergeCell ref="R8:S8"/>
    <mergeCell ref="N26:O26"/>
    <mergeCell ref="C10:H10"/>
    <mergeCell ref="C16:H16"/>
    <mergeCell ref="P26:Q26"/>
    <mergeCell ref="L7:M7"/>
    <mergeCell ref="B25:C25"/>
    <mergeCell ref="N7:O7"/>
    <mergeCell ref="D19:E19"/>
    <mergeCell ref="F19:G19"/>
    <mergeCell ref="N25:O25"/>
    <mergeCell ref="P25:Q25"/>
    <mergeCell ref="R19:S19"/>
    <mergeCell ref="T26:V26"/>
    <mergeCell ref="H25:I25"/>
    <mergeCell ref="B11:C11"/>
    <mergeCell ref="R25:S25"/>
    <mergeCell ref="D11:E11"/>
    <mergeCell ref="F5:G5"/>
    <mergeCell ref="F20:G20"/>
    <mergeCell ref="T8:V8"/>
    <mergeCell ref="B34:V34"/>
    <mergeCell ref="T17:V17"/>
    <mergeCell ref="P11:Q11"/>
    <mergeCell ref="F17:G17"/>
    <mergeCell ref="H17:I17"/>
    <mergeCell ref="H11:I11"/>
    <mergeCell ref="J11:K11"/>
    <mergeCell ref="J20:K20"/>
    <mergeCell ref="T19:V19"/>
    <mergeCell ref="L20:M20"/>
    <mergeCell ref="B30:V30"/>
    <mergeCell ref="H19:I19"/>
    <mergeCell ref="N13:O13"/>
    <mergeCell ref="T5:V5"/>
    <mergeCell ref="D23:E23"/>
    <mergeCell ref="H5:I5"/>
    <mergeCell ref="P14:Q14"/>
    <mergeCell ref="C4:H4"/>
    <mergeCell ref="R14:S14"/>
    <mergeCell ref="H14:I14"/>
    <mergeCell ref="R23:S23"/>
    <mergeCell ref="B7:C7"/>
    <mergeCell ref="F7:G7"/>
    <mergeCell ref="R7:S7"/>
    <mergeCell ref="T23:V23"/>
    <mergeCell ref="T13:V13"/>
    <mergeCell ref="B17:C17"/>
    <mergeCell ref="T7:V7"/>
    <mergeCell ref="L8:M8"/>
    <mergeCell ref="D17:E17"/>
    <mergeCell ref="N8:O8"/>
    <mergeCell ref="J26:K26"/>
    <mergeCell ref="F8:G8"/>
    <mergeCell ref="N17:O17"/>
    <mergeCell ref="L26:M26"/>
    <mergeCell ref="P17:Q17"/>
    <mergeCell ref="R20:S20"/>
    <mergeCell ref="B19:C19"/>
    <mergeCell ref="J25:K25"/>
    <mergeCell ref="L25:M25"/>
    <mergeCell ref="N19:O19"/>
    <mergeCell ref="R17:S17"/>
    <mergeCell ref="P19:Q19"/>
    <mergeCell ref="D25:E25"/>
    <mergeCell ref="B5:C5"/>
    <mergeCell ref="B20:C20"/>
    <mergeCell ref="D5:E5"/>
    <mergeCell ref="L11:M11"/>
    <mergeCell ref="D14:E14"/>
    <mergeCell ref="F14:G14"/>
    <mergeCell ref="P5:Q5"/>
    <mergeCell ref="B31:V31"/>
    <mergeCell ref="R5:S5"/>
    <mergeCell ref="T25:V25"/>
    <mergeCell ref="F11:G11"/>
    <mergeCell ref="H20:I20"/>
    <mergeCell ref="J5:K5"/>
    <mergeCell ref="C22:H22"/>
    <mergeCell ref="R11:S11"/>
    <mergeCell ref="J14:K14"/>
    <mergeCell ref="R13:S13"/>
    <mergeCell ref="J13:K13"/>
    <mergeCell ref="B1:V1"/>
    <mergeCell ref="T11:V11"/>
    <mergeCell ref="L13:M13"/>
    <mergeCell ref="P8:Q8"/>
    <mergeCell ref="B23:C23"/>
    <mergeCell ref="L23:M23"/>
    <mergeCell ref="N23:O23"/>
    <mergeCell ref="B8:C8"/>
    <mergeCell ref="F26:G26"/>
    <mergeCell ref="P23:Q23"/>
    <mergeCell ref="R26:S26"/>
    <mergeCell ref="P7:Q7"/>
    <mergeCell ref="B33:V33"/>
    <mergeCell ref="H7:I7"/>
    <mergeCell ref="J7:K7"/>
    <mergeCell ref="B32:V32"/>
    <mergeCell ref="B35:V35"/>
    <mergeCell ref="D8:E8"/>
    <mergeCell ref="H8:I8"/>
    <mergeCell ref="J8:K8"/>
    <mergeCell ref="J17:K17"/>
    <mergeCell ref="H26:I26"/>
  </mergeCells>
  <conditionalFormatting sqref="B6:V6">
    <cfRule type="cellIs" priority="1" operator="equal" dxfId="0">
      <formula>10</formula>
    </cfRule>
  </conditionalFormatting>
  <conditionalFormatting sqref="B12:V12">
    <cfRule type="cellIs" priority="2" operator="equal" dxfId="0">
      <formula>10</formula>
    </cfRule>
  </conditionalFormatting>
  <conditionalFormatting sqref="B18:V18">
    <cfRule type="cellIs" priority="3" operator="equal" dxfId="0">
      <formula>10</formula>
    </cfRule>
  </conditionalFormatting>
  <conditionalFormatting sqref="B24:V24">
    <cfRule type="cellIs" priority="4" operator="equal" dxfId="0">
      <formula>10</formula>
    </cfRule>
  </conditionalFormatting>
  <dataValidations count="1">
    <dataValidation sqref="B6 B12 B18 B24 C6 C12 C18 C24 D6 D12 D18 D24 E6 E12 E18 E24 F6 F12 F18 F24 G6 G12 G18 G24 H6 H12 H18 H24 I6 I12 I18 I24 J6 J12 J18 J24 K6 K12 K18 K24 L6 L12 L18 L24 M6 M12 M18 M24 N6 N12 N18 N24 O6 O12 O18 O24 P6 P12 P18 P24 Q6 Q12 Q18 Q24 R6 R12 R18 R24 S6 S12 S18 S24 T6 T12 T18 T24 U6 U12 U18 U24 V6 V12 V18 V24" showDropDown="0" showInputMessage="0" showErrorMessage="1" allowBlank="1" errorTitle="Lanzamiento inválido" error="Ingresá un valor entero entre 0 y 10 (pinos derribados)." type="whole" operator="between">
      <formula1>0</formula1>
      <formula2>10</formula2>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B1:B30"/>
  <sheetViews>
    <sheetView showGridLines="0" workbookViewId="0">
      <selection activeCell="A1" sqref="A1"/>
    </sheetView>
  </sheetViews>
  <sheetFormatPr baseColWidth="8" defaultRowHeight="15"/>
  <cols>
    <col width="110" customWidth="1" min="2" max="2"/>
  </cols>
  <sheetData>
    <row r="1">
      <c r="B1" s="16" t="inlineStr">
        <is>
          <t>MARCADOR DE BOLICHE - SISTEMA PROGRAMABLES</t>
        </is>
      </c>
    </row>
    <row r="2">
      <c r="B2" s="17" t="inlineStr"/>
    </row>
    <row r="3">
      <c r="B3" s="18" t="inlineStr">
        <is>
          <t>ESTRUCTURA DEL ARCHIVO</t>
        </is>
      </c>
    </row>
    <row r="4">
      <c r="B4" s="17" t="inlineStr">
        <is>
          <t>Hoja 'Marcador': 4 bloques de jugador (Jugador 1 a 4). Cada jugador tiene:</t>
        </is>
      </c>
    </row>
    <row r="5">
      <c r="B5" s="17" t="inlineStr">
        <is>
          <t xml:space="preserve">  - Fila 'frames': números de frame (1 al 10).</t>
        </is>
      </c>
    </row>
    <row r="6">
      <c r="B6" s="17" t="inlineStr">
        <is>
          <t xml:space="preserve">  - Fila 'Lanzamientos': ÚNICA fila a cargar. Celdas donde se escriben los pinos derribados en cada lanzamiento.</t>
        </is>
      </c>
    </row>
    <row r="7">
      <c r="B7" s="17" t="inlineStr">
        <is>
          <t xml:space="preserve">  - Fila oculta de puntos: cálculo intermedio por frame (no editar).</t>
        </is>
      </c>
    </row>
    <row r="8">
      <c r="B8" s="17" t="inlineStr">
        <is>
          <t xml:space="preserve">  - Fila de puntaje (azul clara): puntaje acumulado automático por frame.</t>
        </is>
      </c>
    </row>
    <row r="9">
      <c r="B9" s="17" t="inlineStr">
        <is>
          <t xml:space="preserve">  - Celda TOTAL: puntaje final de la partida.</t>
        </is>
      </c>
    </row>
    <row r="10">
      <c r="B10" s="17" t="inlineStr"/>
    </row>
    <row r="11">
      <c r="B11" s="18" t="inlineStr">
        <is>
          <t>REGLAS DE PUNTUACIÓN IMPLEMENTADAS</t>
        </is>
      </c>
    </row>
    <row r="12">
      <c r="B12" s="17" t="inlineStr">
        <is>
          <t>1. Cada partida tiene 10 frames.</t>
        </is>
      </c>
    </row>
    <row r="13">
      <c r="B13" s="17" t="inlineStr">
        <is>
          <t>2. Strike = 10 pinos con el primer lanzamiento. Vale 10 + los dos lanzamientos siguientes.</t>
        </is>
      </c>
    </row>
    <row r="14">
      <c r="B14" s="17" t="inlineStr">
        <is>
          <t>3. Spare = 10 pinos en dos lanzamientos. Vale 10 + el lanzamiento siguiente.</t>
        </is>
      </c>
    </row>
    <row r="15">
      <c r="B15" s="17" t="inlineStr">
        <is>
          <t>4. Frame abierto = suma normal de los dos lanzamientos.</t>
        </is>
      </c>
    </row>
    <row r="16">
      <c r="B16" s="17" t="inlineStr">
        <is>
          <t>5. Frame 10: con strike o spare se lanzan 3 bolas; sin bonus solo 2.</t>
        </is>
      </c>
    </row>
    <row r="17">
      <c r="B17" s="17" t="inlineStr">
        <is>
          <t>6. El puntaje acumulado solo se muestra cuando el frame y sus bonificaciones están completos.</t>
        </is>
      </c>
    </row>
    <row r="18">
      <c r="B18" s="17" t="inlineStr"/>
    </row>
    <row r="19">
      <c r="B19" s="18" t="inlineStr">
        <is>
          <t>CÓMO CARGAR UNA JUGADA</t>
        </is>
      </c>
    </row>
    <row r="20">
      <c r="B20" s="17" t="inlineStr">
        <is>
          <t>Ejemplo frame 3 con STRIKE: en las celdas del frame 3 escribir 10 y dejar la 2da vacía.</t>
        </is>
      </c>
    </row>
    <row r="21">
      <c r="B21" s="17" t="inlineStr">
        <is>
          <t>Ejemplo frame 4 con SPARE 7-3: escribir 7 en la 1ra celda y 3 en la 2da.</t>
        </is>
      </c>
    </row>
    <row r="22">
      <c r="B22" s="17" t="inlineStr">
        <is>
          <t>Ejemplo frame 5 abierto 4-5: escribir 4 y 5. El acumulado se suma solo.</t>
        </is>
      </c>
    </row>
    <row r="23">
      <c r="B23" s="17" t="inlineStr"/>
    </row>
    <row r="24">
      <c r="B24" s="18" t="inlineStr">
        <is>
          <t>INTEGRACIÓN CON LA CÁMARA IA (próximo paso)</t>
        </is>
      </c>
    </row>
    <row r="25">
      <c r="B25" s="17" t="inlineStr">
        <is>
          <t>La cámara detectará los pinos derribados por lanzamiento. El flujo será:</t>
        </is>
      </c>
    </row>
    <row r="26">
      <c r="B26" s="17" t="inlineStr">
        <is>
          <t xml:space="preserve">  1. Captura de imagen -&gt; modelo de visión (YOLO u otro) -&gt; cantidad de pinos derribados.</t>
        </is>
      </c>
    </row>
    <row r="27">
      <c r="B27" s="17" t="inlineStr">
        <is>
          <t xml:space="preserve">  2. Ese entero (0 a 10) se escribe en la celda correspondiente del Excel (openpyxl o similar).</t>
        </is>
      </c>
    </row>
    <row r="28">
      <c r="B28" s="17" t="inlineStr">
        <is>
          <t xml:space="preserve">  3. El Excel recalcula automáticamente el marcador con las reglas oficiales.</t>
        </is>
      </c>
    </row>
    <row r="29">
      <c r="B29" s="17" t="inlineStr">
        <is>
          <t>El script 'generar_marcador.py' genera este archivo; se puede extender para escribir</t>
        </is>
      </c>
    </row>
    <row r="30">
      <c r="B30" s="17" t="inlineStr">
        <is>
          <t>lanzamientos programáticamente desde el software de la cámara.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2026-10-19T22:31:34Z</dcterms:created>
  <dcterms:modified xmlns:dcterms="http://purl.org/dc/terms/" xmlns:xsi="http://www.w3.org/2001/XMLSchema-instance" xsi:type="dcterms:W3CDTF">2026-10-19T22:31:34Z</dcterms:modified>
</cp:coreProperties>
</file>